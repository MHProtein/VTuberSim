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Unity\VTuberSim\Assets\StreamingAssets\Configurations\dev\"/>
    </mc:Choice>
  </mc:AlternateContent>
  <xr:revisionPtr revIDLastSave="0" documentId="13_ncr:1_{88454F89-B2BF-4D39-BCFC-E52E7806652E}" xr6:coauthVersionLast="47" xr6:coauthVersionMax="47" xr10:uidLastSave="{00000000-0000-0000-0000-000000000000}"/>
  <bookViews>
    <workbookView xWindow="25490" yWindow="-110" windowWidth="25820" windowHeight="13900" activeTab="3" xr2:uid="{00000000-000D-0000-FFFF-FFFF00000000}"/>
  </bookViews>
  <sheets>
    <sheet name="RaisingEffects" sheetId="1" r:id="rId1"/>
    <sheet name="CardConditions" sheetId="2" r:id="rId2"/>
    <sheet name="DialogueEvents" sheetId="4" r:id="rId3"/>
    <sheet name="StreamEvents" sheetId="3" r:id="rId4"/>
    <sheet name="PhaseEndingConditions" sheetId="5" r:id="rId5"/>
    <sheet name="PlacingCondi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7" i="3" l="1"/>
</calcChain>
</file>

<file path=xl/sharedStrings.xml><?xml version="1.0" encoding="utf-8"?>
<sst xmlns="http://schemas.openxmlformats.org/spreadsheetml/2006/main" count="455" uniqueCount="212">
  <si>
    <t>ID</t>
  </si>
  <si>
    <t>Name</t>
  </si>
  <si>
    <t>Description</t>
  </si>
  <si>
    <t>Type</t>
  </si>
  <si>
    <t>Condition</t>
  </si>
  <si>
    <t>Param</t>
  </si>
  <si>
    <t>歌力+X</t>
  </si>
  <si>
    <t>VRaisingAddAbilityEffect</t>
  </si>
  <si>
    <t>CASingingAbility</t>
  </si>
  <si>
    <t>游戏力+X</t>
  </si>
  <si>
    <t>CAGamingAbility</t>
  </si>
  <si>
    <t>杂谈力+X</t>
  </si>
  <si>
    <t>CAChattingAbility</t>
  </si>
  <si>
    <t>体力+X</t>
  </si>
  <si>
    <t>VRaisingAddAttributeEffect</t>
  </si>
  <si>
    <t>CAStamina</t>
  </si>
  <si>
    <t>压力+X</t>
  </si>
  <si>
    <t>CAPressure</t>
  </si>
  <si>
    <t>金钱+X</t>
  </si>
  <si>
    <t>CAMoney</t>
  </si>
  <si>
    <t>SkipEvent</t>
  </si>
  <si>
    <t>跳过</t>
  </si>
  <si>
    <t>VRaisingSkipEventEffect</t>
  </si>
  <si>
    <t>ModifySchedule</t>
  </si>
  <si>
    <t>VRaisingModifyScheduleEffect</t>
  </si>
  <si>
    <t>AddRandomM</t>
  </si>
  <si>
    <t>VRaisingAddRandomCardEffect</t>
  </si>
  <si>
    <t>歌力提升率+X%</t>
  </si>
  <si>
    <t>CASingingAbilityConversionRatio</t>
  </si>
  <si>
    <t>游戏力提升率+X%</t>
  </si>
  <si>
    <t>CAGamingAbilityConversionRatio</t>
  </si>
  <si>
    <t>杂谈力提升率+X%</t>
  </si>
  <si>
    <t>CAChattingAbilityConversionRatio</t>
  </si>
  <si>
    <t>歌力提升转化率+X%</t>
  </si>
  <si>
    <t>CASingingAbilityGainEfficiency</t>
  </si>
  <si>
    <t>游戏力转化率+X%</t>
  </si>
  <si>
    <t>CAGamingAbilityGainEfficiency</t>
  </si>
  <si>
    <t>杂谈力转化率+X%</t>
  </si>
  <si>
    <t>CAChattingAbilityGainEfficiency</t>
  </si>
  <si>
    <t>粉丝数+X</t>
  </si>
  <si>
    <t>CAFollowerCount</t>
  </si>
  <si>
    <t>舰长数+X</t>
  </si>
  <si>
    <t>CAMembershipCount</t>
  </si>
  <si>
    <t>粉丝同接转化率+X%</t>
  </si>
  <si>
    <t>CAFollowerToViewerRatio</t>
  </si>
  <si>
    <t>直播分成率+X%</t>
  </si>
  <si>
    <t>BARevenueShareRate</t>
  </si>
  <si>
    <t>选择阶段结局</t>
  </si>
  <si>
    <t>选择阶段结束</t>
  </si>
  <si>
    <t>VRaisingPickPhaseEndingEffect</t>
  </si>
  <si>
    <t>加遗物0</t>
  </si>
  <si>
    <t>VRaisingAddRelicEffect</t>
  </si>
  <si>
    <t>加遗物1</t>
  </si>
  <si>
    <t>追加事件Test</t>
  </si>
  <si>
    <t>追加事件</t>
  </si>
  <si>
    <t>VRaisingAddEventAfterCurrentEffect</t>
  </si>
  <si>
    <t>Practice</t>
  </si>
  <si>
    <t>从卡组删除一张卡牌</t>
  </si>
  <si>
    <t>VRaisingDeleteSelected</t>
  </si>
  <si>
    <t>从三张卡牌中选择一张卡牌加入卡组</t>
  </si>
  <si>
    <t>VRaisingAddSelectedFrom3Effect</t>
  </si>
  <si>
    <t>进入结局</t>
  </si>
  <si>
    <t>VRaisingEndingEffect</t>
  </si>
  <si>
    <t>随机获得一个消耗品</t>
  </si>
  <si>
    <t>选择一个消耗品获得</t>
  </si>
  <si>
    <t>选择一张卡牌获得</t>
  </si>
  <si>
    <t>随机获得一张卡牌</t>
  </si>
  <si>
    <t>M卡</t>
  </si>
  <si>
    <t>VCardTypeCondition</t>
  </si>
  <si>
    <t>M</t>
  </si>
  <si>
    <t>A卡</t>
  </si>
  <si>
    <t>A</t>
  </si>
  <si>
    <t>Rare</t>
  </si>
  <si>
    <t>VCardRarityCondition</t>
  </si>
  <si>
    <t>Epic</t>
  </si>
  <si>
    <t>Common</t>
  </si>
  <si>
    <t>Pool</t>
  </si>
  <si>
    <t>VCardPoolCondition</t>
  </si>
  <si>
    <t>0,1,2</t>
  </si>
  <si>
    <t>LiveType</t>
  </si>
  <si>
    <t>VCardLiveTypeCondition</t>
  </si>
  <si>
    <t>C</t>
  </si>
  <si>
    <t>Duration</t>
  </si>
  <si>
    <t>CostType</t>
  </si>
  <si>
    <t>Cost</t>
  </si>
  <si>
    <t>Icon</t>
  </si>
  <si>
    <t>BackGroundColor</t>
  </si>
  <si>
    <t>PlacingCondition</t>
  </si>
  <si>
    <t>DialogueNode</t>
  </si>
  <si>
    <t>声乐练习</t>
  </si>
  <si>
    <t>歌力+40</t>
  </si>
  <si>
    <t>Stamina</t>
  </si>
  <si>
    <t>#FF2160</t>
  </si>
  <si>
    <t>游戏练习</t>
  </si>
  <si>
    <t>游戏力+40</t>
  </si>
  <si>
    <t>#4B58FF</t>
  </si>
  <si>
    <t>对话练习</t>
  </si>
  <si>
    <t>杂谈力+40</t>
  </si>
  <si>
    <t>#FFB200</t>
  </si>
  <si>
    <t>AddChatting</t>
  </si>
  <si>
    <t>小憩一会</t>
  </si>
  <si>
    <t>体力+25</t>
  </si>
  <si>
    <t>Recovery</t>
  </si>
  <si>
    <t>#00B050</t>
  </si>
  <si>
    <t>Nap</t>
  </si>
  <si>
    <t>外出吃饭</t>
  </si>
  <si>
    <t>体力+60
体力+40，获得一张卡牌
体力+40，获得一个消耗品</t>
  </si>
  <si>
    <t>Out</t>
  </si>
  <si>
    <t>放一天假</t>
  </si>
  <si>
    <t>体力+100,从卡组中选择一张卡牌删除</t>
  </si>
  <si>
    <t>DayOff</t>
  </si>
  <si>
    <t>直播成功</t>
  </si>
  <si>
    <t>#D0CECE</t>
  </si>
  <si>
    <t>StreamSuccess</t>
  </si>
  <si>
    <t>直播失败</t>
  </si>
  <si>
    <t>StreamFail</t>
  </si>
  <si>
    <t>昏厥</t>
  </si>
  <si>
    <t>第一阶段开始</t>
  </si>
  <si>
    <t>第二阶段开始</t>
  </si>
  <si>
    <t>PhaseStart2</t>
  </si>
  <si>
    <t>兼职</t>
  </si>
  <si>
    <t>金钱+60，体力-10
金钱+30，获得一张卡，体力-10
金钱+100，体力-15</t>
  </si>
  <si>
    <t>Work</t>
  </si>
  <si>
    <t>#E5FD1F</t>
  </si>
  <si>
    <t>Work1</t>
  </si>
  <si>
    <t>剪辑切片</t>
  </si>
  <si>
    <t>粉丝+100，金钱+15，从卡组中删除一张牌</t>
  </si>
  <si>
    <t>Edit</t>
  </si>
  <si>
    <t>网络购物</t>
  </si>
  <si>
    <t>进入商店界面</t>
  </si>
  <si>
    <t>#0BF30B</t>
  </si>
  <si>
    <t>歌回成功事件</t>
  </si>
  <si>
    <r>
      <rPr>
        <sz val="10.5"/>
        <color theme="1"/>
        <rFont val="宋体"/>
        <charset val="134"/>
      </rPr>
      <t>粉丝</t>
    </r>
    <r>
      <rPr>
        <sz val="10.5"/>
        <color theme="1"/>
        <rFont val="Consolas"/>
        <charset val="134"/>
      </rPr>
      <t>+200</t>
    </r>
    <r>
      <rPr>
        <sz val="10.5"/>
        <color theme="1"/>
        <rFont val="宋体"/>
        <charset val="134"/>
      </rPr>
      <t>，金钱</t>
    </r>
    <r>
      <rPr>
        <sz val="10.5"/>
        <color theme="1"/>
        <rFont val="Consolas"/>
        <charset val="134"/>
      </rPr>
      <t>+30</t>
    </r>
    <r>
      <rPr>
        <sz val="10.5"/>
        <color theme="1"/>
        <rFont val="宋体"/>
        <charset val="134"/>
      </rPr>
      <t>，舰长</t>
    </r>
    <r>
      <rPr>
        <sz val="10.5"/>
        <color theme="1"/>
        <rFont val="Consolas"/>
        <charset val="134"/>
      </rPr>
      <t>+1</t>
    </r>
    <r>
      <rPr>
        <sz val="10.5"/>
        <color theme="1"/>
        <rFont val="宋体"/>
        <charset val="134"/>
      </rPr>
      <t>，获得一张卡</t>
    </r>
  </si>
  <si>
    <t>SingSuccess</t>
  </si>
  <si>
    <t>游戏回成功事件</t>
  </si>
  <si>
    <t>gameSuccess</t>
  </si>
  <si>
    <t>杂谈回成功事件</t>
  </si>
  <si>
    <t>进阶唱歌练习</t>
  </si>
  <si>
    <t>歌力+100，获得一张卡</t>
  </si>
  <si>
    <t>进阶游戏练习</t>
  </si>
  <si>
    <t>游戏力+100，获得一张卡</t>
  </si>
  <si>
    <t>进阶杂谈练习</t>
  </si>
  <si>
    <t>杂谈力+100，获得一张卡</t>
  </si>
  <si>
    <t>毕业1</t>
  </si>
  <si>
    <t>第一阶段失败</t>
  </si>
  <si>
    <t>Graduation_1</t>
  </si>
  <si>
    <t>毕业2</t>
  </si>
  <si>
    <t>第二阶段失败</t>
  </si>
  <si>
    <t>Graduation_2</t>
  </si>
  <si>
    <t>第三阶段开始</t>
  </si>
  <si>
    <t>#D1CECE</t>
  </si>
  <si>
    <t>结局阶段开始</t>
  </si>
  <si>
    <t>#D2CECE</t>
  </si>
  <si>
    <t>TurnCount</t>
  </si>
  <si>
    <t>Target</t>
  </si>
  <si>
    <t>InitialViewers</t>
  </si>
  <si>
    <t>SuccessEvent</t>
  </si>
  <si>
    <t>FailEvent</t>
  </si>
  <si>
    <t>Conditions</t>
  </si>
  <si>
    <t>歌回</t>
  </si>
  <si>
    <t>Stream</t>
  </si>
  <si>
    <t>#AB0580</t>
  </si>
  <si>
    <t>游戏回</t>
  </si>
  <si>
    <t>杂谈回</t>
  </si>
  <si>
    <t>歌杂</t>
  </si>
  <si>
    <t>主题歌回</t>
  </si>
  <si>
    <t>第一阶段歌力</t>
  </si>
  <si>
    <t>水友联动回</t>
  </si>
  <si>
    <t>第一阶段游戏力</t>
  </si>
  <si>
    <t>棉花糖回</t>
  </si>
  <si>
    <t>第一阶段杂谈力</t>
  </si>
  <si>
    <t>健身环挑战回</t>
  </si>
  <si>
    <t>第一阶段体力</t>
  </si>
  <si>
    <t>耐久歌回</t>
  </si>
  <si>
    <t>第二阶段歌力</t>
  </si>
  <si>
    <t>0, 2</t>
  </si>
  <si>
    <t>段位挑战回</t>
  </si>
  <si>
    <t>第二阶段游戏</t>
  </si>
  <si>
    <t>#AB0581</t>
  </si>
  <si>
    <t>故事会</t>
  </si>
  <si>
    <t>第二阶段杂谈</t>
  </si>
  <si>
    <t>#AB0582</t>
  </si>
  <si>
    <t>冲舰回</t>
  </si>
  <si>
    <t>第二阶段营收</t>
  </si>
  <si>
    <t>#AB0583</t>
  </si>
  <si>
    <t>NameOrID</t>
  </si>
  <si>
    <t>Parameter</t>
  </si>
  <si>
    <t>VPhaseEndingAttributeCondition</t>
  </si>
  <si>
    <t>VPhaseEndingEventCondition</t>
  </si>
  <si>
    <t xml:space="preserve">Name </t>
  </si>
  <si>
    <t xml:space="preserve"> Type</t>
  </si>
  <si>
    <t xml:space="preserve"> TargetValue</t>
  </si>
  <si>
    <t>VRaisingUpgradeCoopLevel</t>
  </si>
  <si>
    <t>UPGRADE level for goomba</t>
  </si>
  <si>
    <t>VRaisingAddCoopValueEffect</t>
  </si>
  <si>
    <t>Upgrade Level for goomba</t>
  </si>
  <si>
    <t>#00B051</t>
  </si>
  <si>
    <t>GoombaUpgradelv1</t>
  </si>
  <si>
    <t>VAttributePlacingCondition</t>
  </si>
  <si>
    <t>CASingingAbility,200</t>
  </si>
  <si>
    <t>VTimeOfDayPlacingCondition</t>
  </si>
  <si>
    <t>VDayPlacingCondition</t>
  </si>
  <si>
    <t>MainAbility</t>
  </si>
  <si>
    <t>AbilityTurns</t>
  </si>
  <si>
    <t>4,2,2</t>
  </si>
  <si>
    <t>4,2,4</t>
  </si>
  <si>
    <t>0.5,0.3,0.2,0.8,0.2,0.1</t>
  </si>
  <si>
    <t>0.2,0.7,0.1,0.8,0.2,0.1</t>
  </si>
  <si>
    <t>add coop value for goomba</t>
  </si>
  <si>
    <t>Graduation_3</t>
  </si>
  <si>
    <t>Graduation_4</t>
  </si>
  <si>
    <t>phase1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</si>
</sst>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0.5"/>
      <color theme="1"/>
      <name val="宋体"/>
      <charset val="134"/>
    </font>
    <font>
      <sz val="10.5"/>
      <color theme="1"/>
      <name val="Consolas"/>
      <charset val="134"/>
    </font>
    <font>
      <sz val="8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AB0580"/>
        <bgColor indexed="64"/>
      </patternFill>
    </fill>
    <fill>
      <patternFill patternType="solid">
        <fgColor rgb="FFFF2160"/>
        <bgColor indexed="64"/>
      </patternFill>
    </fill>
    <fill>
      <patternFill patternType="solid">
        <fgColor rgb="FF4B58FF"/>
        <bgColor indexed="64"/>
      </patternFill>
    </fill>
    <fill>
      <patternFill patternType="solid">
        <fgColor rgb="FFFFB2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5FD1F"/>
        <bgColor indexed="64"/>
      </patternFill>
    </fill>
    <fill>
      <patternFill patternType="solid">
        <fgColor rgb="FF0BF30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0" fillId="0" borderId="0" xfId="0" applyAlignment="1">
      <alignment vertical="top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wrapText="1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5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0" fontId="0" fillId="8" borderId="0" xfId="0" applyFill="1" applyAlignment="1">
      <alignment vertical="top"/>
    </xf>
    <xf numFmtId="0" fontId="0" fillId="9" borderId="0" xfId="0" applyFill="1" applyAlignment="1">
      <alignment vertical="top"/>
    </xf>
    <xf numFmtId="0" fontId="1" fillId="0" borderId="0" xfId="0" applyFont="1"/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BF3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www.wps.cn/officeDocument/2021/sharedlinks" Target="NUL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zoomScale="160" zoomScaleNormal="160" workbookViewId="0">
      <selection activeCell="C34" sqref="C34"/>
    </sheetView>
  </sheetViews>
  <sheetFormatPr defaultColWidth="9" defaultRowHeight="15"/>
  <cols>
    <col min="1" max="1" width="3.42578125" customWidth="1"/>
    <col min="2" max="2" width="31.42578125" customWidth="1"/>
    <col min="3" max="3" width="29.42578125" customWidth="1"/>
    <col min="4" max="4" width="31.7109375" customWidth="1"/>
    <col min="5" max="5" width="15.28515625" customWidth="1"/>
    <col min="6" max="6" width="29.5703125" customWidth="1"/>
    <col min="7" max="7" width="15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0</v>
      </c>
      <c r="B2" t="s">
        <v>6</v>
      </c>
      <c r="C2" t="s">
        <v>6</v>
      </c>
      <c r="D2" t="s">
        <v>7</v>
      </c>
      <c r="E2">
        <v>1</v>
      </c>
      <c r="F2" t="s">
        <v>8</v>
      </c>
    </row>
    <row r="3" spans="1:6">
      <c r="A3">
        <v>1</v>
      </c>
      <c r="B3" t="s">
        <v>9</v>
      </c>
      <c r="C3" t="s">
        <v>9</v>
      </c>
      <c r="D3" t="s">
        <v>7</v>
      </c>
      <c r="E3">
        <v>1</v>
      </c>
      <c r="F3" t="s">
        <v>10</v>
      </c>
    </row>
    <row r="4" spans="1:6">
      <c r="A4">
        <v>2</v>
      </c>
      <c r="B4" t="s">
        <v>11</v>
      </c>
      <c r="C4" t="s">
        <v>11</v>
      </c>
      <c r="D4" t="s">
        <v>7</v>
      </c>
      <c r="E4">
        <v>1</v>
      </c>
      <c r="F4" t="s">
        <v>12</v>
      </c>
    </row>
    <row r="5" spans="1:6">
      <c r="A5">
        <v>3</v>
      </c>
      <c r="B5" t="s">
        <v>13</v>
      </c>
      <c r="C5" t="s">
        <v>13</v>
      </c>
      <c r="D5" t="s">
        <v>14</v>
      </c>
      <c r="F5" t="s">
        <v>15</v>
      </c>
    </row>
    <row r="6" spans="1:6">
      <c r="A6">
        <v>4</v>
      </c>
      <c r="B6" t="s">
        <v>16</v>
      </c>
      <c r="C6" t="s">
        <v>16</v>
      </c>
      <c r="D6" t="s">
        <v>14</v>
      </c>
      <c r="F6" t="s">
        <v>17</v>
      </c>
    </row>
    <row r="7" spans="1:6">
      <c r="A7">
        <v>5</v>
      </c>
      <c r="B7" t="s">
        <v>18</v>
      </c>
      <c r="C7" t="s">
        <v>18</v>
      </c>
      <c r="D7" t="s">
        <v>14</v>
      </c>
      <c r="F7" t="s">
        <v>19</v>
      </c>
    </row>
    <row r="8" spans="1:6">
      <c r="A8">
        <v>6</v>
      </c>
      <c r="B8" t="s">
        <v>20</v>
      </c>
      <c r="C8" t="s">
        <v>21</v>
      </c>
      <c r="D8" t="s">
        <v>22</v>
      </c>
    </row>
    <row r="9" spans="1:6">
      <c r="A9">
        <v>7</v>
      </c>
      <c r="B9" t="s">
        <v>23</v>
      </c>
      <c r="C9" t="s">
        <v>23</v>
      </c>
      <c r="D9" t="s">
        <v>24</v>
      </c>
    </row>
    <row r="10" spans="1:6">
      <c r="A10">
        <v>8</v>
      </c>
      <c r="B10" t="s">
        <v>25</v>
      </c>
      <c r="C10" t="s">
        <v>25</v>
      </c>
      <c r="D10" t="s">
        <v>26</v>
      </c>
      <c r="E10">
        <v>0</v>
      </c>
      <c r="F10" t="s">
        <v>206</v>
      </c>
    </row>
    <row r="11" spans="1:6">
      <c r="A11">
        <v>9</v>
      </c>
      <c r="B11" t="s">
        <v>27</v>
      </c>
      <c r="C11" t="s">
        <v>27</v>
      </c>
      <c r="D11" t="s">
        <v>14</v>
      </c>
      <c r="F11" t="s">
        <v>28</v>
      </c>
    </row>
    <row r="12" spans="1:6">
      <c r="A12">
        <v>10</v>
      </c>
      <c r="B12" t="s">
        <v>29</v>
      </c>
      <c r="C12" t="s">
        <v>29</v>
      </c>
      <c r="D12" t="s">
        <v>14</v>
      </c>
      <c r="F12" t="s">
        <v>30</v>
      </c>
    </row>
    <row r="13" spans="1:6">
      <c r="A13">
        <v>11</v>
      </c>
      <c r="B13" t="s">
        <v>31</v>
      </c>
      <c r="C13" t="s">
        <v>31</v>
      </c>
      <c r="D13" t="s">
        <v>14</v>
      </c>
      <c r="F13" t="s">
        <v>32</v>
      </c>
    </row>
    <row r="14" spans="1:6">
      <c r="A14">
        <v>12</v>
      </c>
      <c r="B14" t="s">
        <v>33</v>
      </c>
      <c r="C14" t="s">
        <v>33</v>
      </c>
      <c r="D14" t="s">
        <v>14</v>
      </c>
      <c r="F14" t="s">
        <v>34</v>
      </c>
    </row>
    <row r="15" spans="1:6">
      <c r="A15">
        <v>13</v>
      </c>
      <c r="B15" t="s">
        <v>35</v>
      </c>
      <c r="C15" t="s">
        <v>35</v>
      </c>
      <c r="D15" t="s">
        <v>14</v>
      </c>
      <c r="F15" t="s">
        <v>36</v>
      </c>
    </row>
    <row r="16" spans="1:6">
      <c r="A16">
        <v>14</v>
      </c>
      <c r="B16" t="s">
        <v>37</v>
      </c>
      <c r="C16" t="s">
        <v>37</v>
      </c>
      <c r="D16" t="s">
        <v>14</v>
      </c>
      <c r="F16" t="s">
        <v>38</v>
      </c>
    </row>
    <row r="17" spans="1:6">
      <c r="A17">
        <v>15</v>
      </c>
      <c r="B17" t="s">
        <v>39</v>
      </c>
      <c r="C17" t="s">
        <v>39</v>
      </c>
      <c r="D17" t="s">
        <v>14</v>
      </c>
      <c r="F17" t="s">
        <v>40</v>
      </c>
    </row>
    <row r="18" spans="1:6">
      <c r="A18">
        <v>16</v>
      </c>
      <c r="B18" t="s">
        <v>41</v>
      </c>
      <c r="C18" t="s">
        <v>41</v>
      </c>
      <c r="D18" t="s">
        <v>14</v>
      </c>
      <c r="F18" t="s">
        <v>42</v>
      </c>
    </row>
    <row r="19" spans="1:6">
      <c r="A19">
        <v>17</v>
      </c>
      <c r="B19" t="s">
        <v>43</v>
      </c>
      <c r="C19" t="s">
        <v>43</v>
      </c>
      <c r="D19" t="s">
        <v>14</v>
      </c>
      <c r="F19" t="s">
        <v>44</v>
      </c>
    </row>
    <row r="20" spans="1:6">
      <c r="A20">
        <v>18</v>
      </c>
      <c r="B20" t="s">
        <v>45</v>
      </c>
      <c r="C20" t="s">
        <v>45</v>
      </c>
      <c r="D20" t="s">
        <v>14</v>
      </c>
      <c r="F20" t="s">
        <v>46</v>
      </c>
    </row>
    <row r="21" spans="1:6">
      <c r="A21">
        <v>19</v>
      </c>
      <c r="B21" t="s">
        <v>47</v>
      </c>
      <c r="C21" t="s">
        <v>48</v>
      </c>
      <c r="D21" t="s">
        <v>49</v>
      </c>
    </row>
    <row r="22" spans="1:6">
      <c r="A22">
        <v>20</v>
      </c>
      <c r="B22" t="s">
        <v>50</v>
      </c>
      <c r="C22" t="s">
        <v>50</v>
      </c>
      <c r="D22" t="s">
        <v>51</v>
      </c>
      <c r="F22">
        <v>0</v>
      </c>
    </row>
    <row r="23" spans="1:6">
      <c r="A23">
        <v>21</v>
      </c>
      <c r="B23" t="s">
        <v>52</v>
      </c>
      <c r="C23" t="s">
        <v>52</v>
      </c>
      <c r="D23" t="s">
        <v>51</v>
      </c>
      <c r="F23">
        <v>1</v>
      </c>
    </row>
    <row r="24" spans="1:6">
      <c r="A24">
        <v>22</v>
      </c>
      <c r="B24" t="s">
        <v>53</v>
      </c>
      <c r="C24" t="s">
        <v>54</v>
      </c>
      <c r="D24" t="s">
        <v>55</v>
      </c>
      <c r="F24" t="s">
        <v>56</v>
      </c>
    </row>
    <row r="25" spans="1:6">
      <c r="A25">
        <v>23</v>
      </c>
      <c r="B25" t="s">
        <v>57</v>
      </c>
      <c r="C25" t="s">
        <v>57</v>
      </c>
      <c r="D25" t="s">
        <v>58</v>
      </c>
    </row>
    <row r="26" spans="1:6">
      <c r="A26">
        <v>24</v>
      </c>
      <c r="B26" s="14" t="s">
        <v>59</v>
      </c>
      <c r="C26" t="s">
        <v>59</v>
      </c>
      <c r="D26" t="s">
        <v>60</v>
      </c>
      <c r="E26">
        <v>1</v>
      </c>
      <c r="F26" t="s">
        <v>207</v>
      </c>
    </row>
    <row r="27" spans="1:6">
      <c r="A27">
        <v>25</v>
      </c>
      <c r="B27" t="s">
        <v>61</v>
      </c>
      <c r="C27" t="s">
        <v>61</v>
      </c>
      <c r="D27" t="s">
        <v>62</v>
      </c>
    </row>
    <row r="28" spans="1:6">
      <c r="A28">
        <v>26</v>
      </c>
      <c r="B28" t="s">
        <v>63</v>
      </c>
      <c r="C28" t="s">
        <v>61</v>
      </c>
      <c r="D28" t="s">
        <v>62</v>
      </c>
    </row>
    <row r="29" spans="1:6">
      <c r="A29">
        <v>27</v>
      </c>
      <c r="B29" t="s">
        <v>64</v>
      </c>
      <c r="C29" t="s">
        <v>61</v>
      </c>
      <c r="D29" t="s">
        <v>62</v>
      </c>
    </row>
    <row r="30" spans="1:6">
      <c r="A30">
        <v>28</v>
      </c>
      <c r="B30" t="s">
        <v>65</v>
      </c>
      <c r="C30" t="s">
        <v>61</v>
      </c>
      <c r="D30" t="s">
        <v>62</v>
      </c>
    </row>
    <row r="31" spans="1:6">
      <c r="A31">
        <v>29</v>
      </c>
      <c r="B31" t="s">
        <v>66</v>
      </c>
      <c r="C31" t="s">
        <v>61</v>
      </c>
      <c r="D31" t="s">
        <v>62</v>
      </c>
    </row>
    <row r="32" spans="1:6">
      <c r="A32">
        <v>30</v>
      </c>
      <c r="B32" t="s">
        <v>208</v>
      </c>
      <c r="C32" t="s">
        <v>208</v>
      </c>
      <c r="D32" t="s">
        <v>194</v>
      </c>
      <c r="F32">
        <v>0</v>
      </c>
    </row>
    <row r="33" spans="1:6">
      <c r="A33">
        <v>31</v>
      </c>
      <c r="B33" t="s">
        <v>193</v>
      </c>
      <c r="D33" t="s">
        <v>192</v>
      </c>
      <c r="F3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zoomScale="160" zoomScaleNormal="160" workbookViewId="0">
      <selection activeCell="E8" sqref="E8"/>
    </sheetView>
  </sheetViews>
  <sheetFormatPr defaultColWidth="9" defaultRowHeight="15"/>
  <cols>
    <col min="1" max="1" width="12" customWidth="1"/>
    <col min="2" max="2" width="14" customWidth="1"/>
    <col min="3" max="3" width="17.28515625" customWidth="1"/>
    <col min="4" max="4" width="20.140625" customWidth="1"/>
    <col min="5" max="5" width="19.71093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0</v>
      </c>
      <c r="B2" t="s">
        <v>67</v>
      </c>
      <c r="D2" t="s">
        <v>68</v>
      </c>
      <c r="E2" t="s">
        <v>69</v>
      </c>
    </row>
    <row r="3" spans="1:5">
      <c r="A3">
        <v>1</v>
      </c>
      <c r="B3" t="s">
        <v>70</v>
      </c>
      <c r="D3" t="s">
        <v>68</v>
      </c>
      <c r="E3" t="s">
        <v>71</v>
      </c>
    </row>
    <row r="4" spans="1:5">
      <c r="A4">
        <v>2</v>
      </c>
      <c r="B4" t="s">
        <v>72</v>
      </c>
      <c r="D4" t="s">
        <v>73</v>
      </c>
      <c r="E4" t="s">
        <v>72</v>
      </c>
    </row>
    <row r="5" spans="1:5">
      <c r="A5">
        <v>3</v>
      </c>
      <c r="B5" t="s">
        <v>74</v>
      </c>
      <c r="D5" t="s">
        <v>73</v>
      </c>
      <c r="E5" t="s">
        <v>74</v>
      </c>
    </row>
    <row r="6" spans="1:5">
      <c r="A6">
        <v>4</v>
      </c>
      <c r="B6" t="s">
        <v>75</v>
      </c>
      <c r="D6" t="s">
        <v>73</v>
      </c>
      <c r="E6" t="s">
        <v>75</v>
      </c>
    </row>
    <row r="7" spans="1:5">
      <c r="A7">
        <v>5</v>
      </c>
      <c r="B7" t="s">
        <v>76</v>
      </c>
      <c r="D7" t="s">
        <v>77</v>
      </c>
      <c r="E7" t="s">
        <v>78</v>
      </c>
    </row>
    <row r="8" spans="1:5">
      <c r="A8">
        <v>6</v>
      </c>
      <c r="B8" t="s">
        <v>79</v>
      </c>
      <c r="D8" t="s">
        <v>80</v>
      </c>
      <c r="E8" s="14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zoomScale="130" zoomScaleNormal="130" workbookViewId="0">
      <selection activeCell="M12" sqref="M12"/>
    </sheetView>
  </sheetViews>
  <sheetFormatPr defaultColWidth="9" defaultRowHeight="30" customHeight="1"/>
  <cols>
    <col min="1" max="1" width="10.42578125" style="3" customWidth="1"/>
    <col min="2" max="2" width="23.28515625" style="3" customWidth="1"/>
    <col min="3" max="3" width="27.7109375" style="3" customWidth="1"/>
    <col min="4" max="4" width="10.140625" style="3" customWidth="1"/>
    <col min="5" max="5" width="8.140625" style="3" customWidth="1"/>
    <col min="6" max="6" width="8.42578125" style="3" customWidth="1"/>
    <col min="7" max="7" width="6.85546875" style="3" customWidth="1"/>
    <col min="8" max="8" width="10.28515625" style="3" customWidth="1"/>
    <col min="9" max="9" width="15.5703125" style="3" customWidth="1"/>
    <col min="10" max="11" width="16.85546875" style="3" customWidth="1"/>
    <col min="12" max="16384" width="9" style="3"/>
  </cols>
  <sheetData>
    <row r="1" spans="1:11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82</v>
      </c>
      <c r="F1" s="3" t="s">
        <v>83</v>
      </c>
      <c r="G1" s="3" t="s">
        <v>84</v>
      </c>
      <c r="H1" s="3" t="s">
        <v>85</v>
      </c>
      <c r="I1" s="3" t="s">
        <v>86</v>
      </c>
      <c r="J1" t="s">
        <v>87</v>
      </c>
      <c r="K1" s="15" t="s">
        <v>88</v>
      </c>
    </row>
    <row r="2" spans="1:11" ht="30" customHeight="1">
      <c r="A2" s="3">
        <v>0</v>
      </c>
      <c r="B2" s="3" t="s">
        <v>89</v>
      </c>
      <c r="C2" s="5" t="s">
        <v>90</v>
      </c>
      <c r="D2" s="3" t="s">
        <v>56</v>
      </c>
      <c r="E2" s="3">
        <v>1</v>
      </c>
      <c r="F2" s="3" t="s">
        <v>91</v>
      </c>
      <c r="G2" s="3">
        <v>90</v>
      </c>
      <c r="H2" s="3" t="s">
        <v>56</v>
      </c>
      <c r="I2" s="7" t="s">
        <v>92</v>
      </c>
      <c r="K2" s="3" t="s">
        <v>211</v>
      </c>
    </row>
    <row r="3" spans="1:11" ht="30" customHeight="1">
      <c r="A3" s="3">
        <v>1</v>
      </c>
      <c r="B3" s="3" t="s">
        <v>93</v>
      </c>
      <c r="C3" s="3" t="s">
        <v>94</v>
      </c>
      <c r="D3" s="3" t="s">
        <v>56</v>
      </c>
      <c r="E3" s="3">
        <v>1</v>
      </c>
      <c r="F3" s="3" t="s">
        <v>91</v>
      </c>
      <c r="G3" s="3">
        <v>10</v>
      </c>
      <c r="H3" s="3" t="s">
        <v>56</v>
      </c>
      <c r="I3" s="8" t="s">
        <v>95</v>
      </c>
      <c r="K3" s="3" t="s">
        <v>211</v>
      </c>
    </row>
    <row r="4" spans="1:11" ht="30" customHeight="1">
      <c r="A4" s="3">
        <v>2</v>
      </c>
      <c r="B4" s="3" t="s">
        <v>96</v>
      </c>
      <c r="C4" s="3" t="s">
        <v>97</v>
      </c>
      <c r="D4" s="3" t="s">
        <v>56</v>
      </c>
      <c r="E4" s="3">
        <v>1</v>
      </c>
      <c r="F4" s="3" t="s">
        <v>91</v>
      </c>
      <c r="G4" s="3">
        <v>10</v>
      </c>
      <c r="H4" s="3" t="s">
        <v>56</v>
      </c>
      <c r="I4" s="9" t="s">
        <v>98</v>
      </c>
      <c r="K4" s="3" t="s">
        <v>99</v>
      </c>
    </row>
    <row r="5" spans="1:11" ht="30" customHeight="1">
      <c r="A5" s="3">
        <v>3</v>
      </c>
      <c r="B5" s="3" t="s">
        <v>100</v>
      </c>
      <c r="C5" s="3" t="s">
        <v>101</v>
      </c>
      <c r="D5" s="3" t="s">
        <v>102</v>
      </c>
      <c r="E5" s="3">
        <v>1</v>
      </c>
      <c r="F5" s="3" t="s">
        <v>91</v>
      </c>
      <c r="G5" s="3">
        <v>0</v>
      </c>
      <c r="H5" s="3" t="s">
        <v>102</v>
      </c>
      <c r="I5" s="10" t="s">
        <v>103</v>
      </c>
      <c r="K5" s="3" t="s">
        <v>104</v>
      </c>
    </row>
    <row r="6" spans="1:11" ht="48" customHeight="1">
      <c r="A6" s="3">
        <v>4</v>
      </c>
      <c r="B6" s="3" t="s">
        <v>105</v>
      </c>
      <c r="C6" s="5" t="s">
        <v>106</v>
      </c>
      <c r="D6" s="3" t="s">
        <v>102</v>
      </c>
      <c r="E6" s="3">
        <v>2</v>
      </c>
      <c r="F6" s="3" t="s">
        <v>91</v>
      </c>
      <c r="G6" s="3">
        <v>0</v>
      </c>
      <c r="H6" s="3" t="s">
        <v>102</v>
      </c>
      <c r="I6" s="10" t="s">
        <v>103</v>
      </c>
      <c r="K6" s="3" t="s">
        <v>107</v>
      </c>
    </row>
    <row r="7" spans="1:11" ht="30" customHeight="1">
      <c r="A7" s="3">
        <v>5</v>
      </c>
      <c r="B7" s="3" t="s">
        <v>108</v>
      </c>
      <c r="C7" s="3" t="s">
        <v>109</v>
      </c>
      <c r="D7" s="3" t="s">
        <v>102</v>
      </c>
      <c r="E7" s="3">
        <v>3</v>
      </c>
      <c r="F7" s="3" t="s">
        <v>91</v>
      </c>
      <c r="G7" s="3">
        <v>0</v>
      </c>
      <c r="H7" s="3" t="s">
        <v>102</v>
      </c>
      <c r="I7" s="10" t="s">
        <v>103</v>
      </c>
      <c r="K7" s="3" t="s">
        <v>110</v>
      </c>
    </row>
    <row r="8" spans="1:11" ht="30" customHeight="1">
      <c r="A8" s="3">
        <v>6</v>
      </c>
      <c r="B8" s="3" t="s">
        <v>111</v>
      </c>
      <c r="C8" s="3" t="s">
        <v>111</v>
      </c>
      <c r="D8" s="3" t="s">
        <v>102</v>
      </c>
      <c r="E8" s="3">
        <v>0</v>
      </c>
      <c r="F8" s="3" t="s">
        <v>91</v>
      </c>
      <c r="G8" s="3">
        <v>0</v>
      </c>
      <c r="H8" s="3" t="s">
        <v>102</v>
      </c>
      <c r="I8" s="11" t="s">
        <v>112</v>
      </c>
      <c r="K8" s="3" t="s">
        <v>113</v>
      </c>
    </row>
    <row r="9" spans="1:11" ht="30" customHeight="1">
      <c r="A9" s="3">
        <v>7</v>
      </c>
      <c r="B9" s="3" t="s">
        <v>114</v>
      </c>
      <c r="C9" s="3" t="s">
        <v>114</v>
      </c>
      <c r="D9" s="3" t="s">
        <v>102</v>
      </c>
      <c r="E9" s="3">
        <v>0</v>
      </c>
      <c r="F9" s="3" t="s">
        <v>91</v>
      </c>
      <c r="G9" s="3">
        <v>0</v>
      </c>
      <c r="H9" s="3" t="s">
        <v>102</v>
      </c>
      <c r="I9" s="11" t="s">
        <v>112</v>
      </c>
      <c r="K9" s="3" t="s">
        <v>115</v>
      </c>
    </row>
    <row r="10" spans="1:11" ht="30" customHeight="1">
      <c r="A10" s="3">
        <v>8</v>
      </c>
      <c r="B10" s="3" t="s">
        <v>116</v>
      </c>
      <c r="C10" s="3" t="s">
        <v>116</v>
      </c>
      <c r="D10" s="3" t="s">
        <v>102</v>
      </c>
      <c r="E10" s="3">
        <v>0</v>
      </c>
      <c r="F10" s="3" t="s">
        <v>91</v>
      </c>
      <c r="G10" s="3">
        <v>0</v>
      </c>
      <c r="H10" s="3" t="s">
        <v>102</v>
      </c>
      <c r="I10" s="11" t="s">
        <v>112</v>
      </c>
      <c r="K10" s="3" t="s">
        <v>211</v>
      </c>
    </row>
    <row r="11" spans="1:11" ht="30" customHeight="1">
      <c r="A11" s="3">
        <v>9</v>
      </c>
      <c r="B11" s="3" t="s">
        <v>117</v>
      </c>
      <c r="C11" s="3" t="s">
        <v>117</v>
      </c>
      <c r="D11" s="3" t="s">
        <v>102</v>
      </c>
      <c r="E11" s="3">
        <v>0</v>
      </c>
      <c r="F11" s="3" t="s">
        <v>91</v>
      </c>
      <c r="G11" s="3">
        <v>0</v>
      </c>
      <c r="H11" s="3" t="s">
        <v>102</v>
      </c>
      <c r="I11" s="11" t="s">
        <v>112</v>
      </c>
      <c r="K11" s="3" t="s">
        <v>211</v>
      </c>
    </row>
    <row r="12" spans="1:11" ht="30" customHeight="1">
      <c r="A12" s="3">
        <v>10</v>
      </c>
      <c r="B12" s="3" t="s">
        <v>118</v>
      </c>
      <c r="C12" s="3" t="s">
        <v>118</v>
      </c>
      <c r="D12" s="3" t="s">
        <v>102</v>
      </c>
      <c r="E12" s="3">
        <v>0</v>
      </c>
      <c r="F12" s="3" t="s">
        <v>91</v>
      </c>
      <c r="G12" s="3">
        <v>0</v>
      </c>
      <c r="H12" s="3" t="s">
        <v>102</v>
      </c>
      <c r="I12" s="11" t="s">
        <v>112</v>
      </c>
      <c r="K12" s="3" t="s">
        <v>119</v>
      </c>
    </row>
    <row r="13" spans="1:11" ht="30" customHeight="1">
      <c r="A13" s="3">
        <v>11</v>
      </c>
      <c r="B13" s="3" t="s">
        <v>120</v>
      </c>
      <c r="C13" s="5" t="s">
        <v>121</v>
      </c>
      <c r="D13" s="3" t="s">
        <v>122</v>
      </c>
      <c r="E13" s="3">
        <v>1</v>
      </c>
      <c r="F13" s="3" t="s">
        <v>91</v>
      </c>
      <c r="G13" s="3">
        <v>0</v>
      </c>
      <c r="H13" s="3" t="s">
        <v>102</v>
      </c>
      <c r="I13" s="12" t="s">
        <v>123</v>
      </c>
      <c r="K13" s="3" t="s">
        <v>124</v>
      </c>
    </row>
    <row r="14" spans="1:11" ht="30" customHeight="1">
      <c r="A14" s="3">
        <v>12</v>
      </c>
      <c r="B14" s="3" t="s">
        <v>125</v>
      </c>
      <c r="C14" s="3" t="s">
        <v>126</v>
      </c>
      <c r="D14" s="3" t="s">
        <v>122</v>
      </c>
      <c r="E14" s="3">
        <v>1</v>
      </c>
      <c r="F14" s="3" t="s">
        <v>91</v>
      </c>
      <c r="G14" s="3">
        <v>20</v>
      </c>
      <c r="H14" s="3" t="s">
        <v>102</v>
      </c>
      <c r="I14" s="12" t="s">
        <v>123</v>
      </c>
      <c r="K14" s="3" t="s">
        <v>127</v>
      </c>
    </row>
    <row r="15" spans="1:11" ht="30" customHeight="1">
      <c r="A15" s="3">
        <v>13</v>
      </c>
      <c r="B15" s="3" t="s">
        <v>128</v>
      </c>
      <c r="C15" s="3" t="s">
        <v>129</v>
      </c>
      <c r="D15" s="3" t="s">
        <v>102</v>
      </c>
      <c r="E15" s="3">
        <v>1</v>
      </c>
      <c r="F15" s="3" t="s">
        <v>91</v>
      </c>
      <c r="G15" s="3">
        <v>0</v>
      </c>
      <c r="H15" s="3" t="s">
        <v>102</v>
      </c>
      <c r="I15" s="13" t="s">
        <v>130</v>
      </c>
      <c r="K15" s="3" t="s">
        <v>127</v>
      </c>
    </row>
    <row r="16" spans="1:11" ht="30" customHeight="1">
      <c r="A16" s="3">
        <v>14</v>
      </c>
      <c r="B16" s="3" t="s">
        <v>131</v>
      </c>
      <c r="C16" s="6" t="s">
        <v>132</v>
      </c>
      <c r="D16" s="3" t="s">
        <v>102</v>
      </c>
      <c r="E16" s="3">
        <v>0</v>
      </c>
      <c r="F16" s="3" t="s">
        <v>91</v>
      </c>
      <c r="G16" s="3">
        <v>0</v>
      </c>
      <c r="H16" s="3" t="s">
        <v>102</v>
      </c>
      <c r="I16" s="11" t="s">
        <v>112</v>
      </c>
      <c r="K16" s="3" t="s">
        <v>133</v>
      </c>
    </row>
    <row r="17" spans="1:11" ht="30" customHeight="1">
      <c r="A17" s="3">
        <v>15</v>
      </c>
      <c r="B17" s="3" t="s">
        <v>134</v>
      </c>
      <c r="C17" s="6" t="s">
        <v>132</v>
      </c>
      <c r="D17" s="3" t="s">
        <v>102</v>
      </c>
      <c r="E17" s="3">
        <v>0</v>
      </c>
      <c r="F17" s="3" t="s">
        <v>91</v>
      </c>
      <c r="G17" s="3">
        <v>0</v>
      </c>
      <c r="H17" s="3" t="s">
        <v>102</v>
      </c>
      <c r="I17" s="11" t="s">
        <v>112</v>
      </c>
      <c r="K17" s="3" t="s">
        <v>135</v>
      </c>
    </row>
    <row r="18" spans="1:11" ht="30" customHeight="1">
      <c r="A18" s="3">
        <v>16</v>
      </c>
      <c r="B18" s="3" t="s">
        <v>136</v>
      </c>
      <c r="C18" s="6" t="s">
        <v>132</v>
      </c>
      <c r="D18" s="3" t="s">
        <v>102</v>
      </c>
      <c r="E18" s="3">
        <v>0</v>
      </c>
      <c r="F18" s="3" t="s">
        <v>91</v>
      </c>
      <c r="G18" s="3">
        <v>0</v>
      </c>
      <c r="H18" s="3" t="s">
        <v>102</v>
      </c>
      <c r="I18" s="11" t="s">
        <v>112</v>
      </c>
      <c r="K18" s="3" t="s">
        <v>133</v>
      </c>
    </row>
    <row r="19" spans="1:11" ht="30" customHeight="1">
      <c r="A19" s="3">
        <v>17</v>
      </c>
      <c r="B19" s="3" t="s">
        <v>137</v>
      </c>
      <c r="C19" s="3" t="s">
        <v>138</v>
      </c>
      <c r="D19" s="3" t="s">
        <v>56</v>
      </c>
      <c r="E19" s="3">
        <v>2</v>
      </c>
      <c r="F19" s="3" t="s">
        <v>91</v>
      </c>
      <c r="G19" s="3">
        <v>20</v>
      </c>
      <c r="H19" s="3" t="s">
        <v>56</v>
      </c>
      <c r="I19" s="7" t="s">
        <v>92</v>
      </c>
      <c r="K19" s="3" t="s">
        <v>133</v>
      </c>
    </row>
    <row r="20" spans="1:11" ht="30" customHeight="1">
      <c r="A20" s="3">
        <v>18</v>
      </c>
      <c r="B20" s="3" t="s">
        <v>139</v>
      </c>
      <c r="C20" s="3" t="s">
        <v>140</v>
      </c>
      <c r="D20" s="3" t="s">
        <v>56</v>
      </c>
      <c r="E20" s="3">
        <v>2</v>
      </c>
      <c r="F20" s="3" t="s">
        <v>91</v>
      </c>
      <c r="G20" s="3">
        <v>20</v>
      </c>
      <c r="H20" s="3" t="s">
        <v>56</v>
      </c>
      <c r="I20" s="8" t="s">
        <v>95</v>
      </c>
      <c r="K20" s="3" t="s">
        <v>133</v>
      </c>
    </row>
    <row r="21" spans="1:11" ht="30" customHeight="1">
      <c r="A21" s="3">
        <v>19</v>
      </c>
      <c r="B21" s="3" t="s">
        <v>141</v>
      </c>
      <c r="C21" s="3" t="s">
        <v>142</v>
      </c>
      <c r="D21" s="3" t="s">
        <v>56</v>
      </c>
      <c r="E21" s="3">
        <v>2</v>
      </c>
      <c r="F21" s="3" t="s">
        <v>91</v>
      </c>
      <c r="G21" s="3">
        <v>20</v>
      </c>
      <c r="H21" s="3" t="s">
        <v>56</v>
      </c>
      <c r="I21" s="9" t="s">
        <v>98</v>
      </c>
      <c r="K21" s="3" t="s">
        <v>133</v>
      </c>
    </row>
    <row r="22" spans="1:11" ht="30" customHeight="1">
      <c r="A22" s="3">
        <v>20</v>
      </c>
      <c r="B22" s="3" t="s">
        <v>143</v>
      </c>
      <c r="C22" s="3" t="s">
        <v>144</v>
      </c>
      <c r="D22" s="3" t="s">
        <v>102</v>
      </c>
      <c r="E22" s="3">
        <v>0</v>
      </c>
      <c r="F22" s="3" t="s">
        <v>91</v>
      </c>
      <c r="G22" s="3">
        <v>0</v>
      </c>
      <c r="H22" s="3" t="s">
        <v>102</v>
      </c>
      <c r="I22" s="11" t="s">
        <v>112</v>
      </c>
      <c r="K22" s="3" t="s">
        <v>145</v>
      </c>
    </row>
    <row r="23" spans="1:11" ht="30" customHeight="1">
      <c r="A23" s="3">
        <v>21</v>
      </c>
      <c r="B23" s="3" t="s">
        <v>146</v>
      </c>
      <c r="C23" s="3" t="s">
        <v>147</v>
      </c>
      <c r="D23" s="3" t="s">
        <v>102</v>
      </c>
      <c r="E23" s="3">
        <v>0</v>
      </c>
      <c r="F23" s="3" t="s">
        <v>91</v>
      </c>
      <c r="G23" s="3">
        <v>0</v>
      </c>
      <c r="H23" s="3" t="s">
        <v>102</v>
      </c>
      <c r="I23" s="11" t="s">
        <v>112</v>
      </c>
      <c r="K23" s="3" t="s">
        <v>148</v>
      </c>
    </row>
    <row r="24" spans="1:11" ht="30" customHeight="1">
      <c r="A24" s="3">
        <v>22</v>
      </c>
      <c r="B24" s="3" t="s">
        <v>149</v>
      </c>
      <c r="C24" s="3" t="s">
        <v>149</v>
      </c>
      <c r="D24" s="3" t="s">
        <v>102</v>
      </c>
      <c r="E24" s="3">
        <v>0</v>
      </c>
      <c r="F24" s="3" t="s">
        <v>91</v>
      </c>
      <c r="G24" s="3">
        <v>0</v>
      </c>
      <c r="H24" s="3" t="s">
        <v>102</v>
      </c>
      <c r="I24" s="11" t="s">
        <v>150</v>
      </c>
      <c r="K24" s="3" t="s">
        <v>209</v>
      </c>
    </row>
    <row r="25" spans="1:11" ht="30" customHeight="1">
      <c r="A25" s="3">
        <v>23</v>
      </c>
      <c r="B25" s="3" t="s">
        <v>151</v>
      </c>
      <c r="C25" s="3" t="s">
        <v>151</v>
      </c>
      <c r="D25" s="3" t="s">
        <v>102</v>
      </c>
      <c r="E25" s="3">
        <v>0</v>
      </c>
      <c r="F25" s="3" t="s">
        <v>91</v>
      </c>
      <c r="G25" s="3">
        <v>0</v>
      </c>
      <c r="H25" s="3" t="s">
        <v>102</v>
      </c>
      <c r="I25" s="11" t="s">
        <v>152</v>
      </c>
      <c r="K25" s="3" t="s">
        <v>210</v>
      </c>
    </row>
    <row r="26" spans="1:11" ht="30" customHeight="1">
      <c r="A26" s="3">
        <v>24</v>
      </c>
      <c r="B26" s="3" t="s">
        <v>195</v>
      </c>
      <c r="D26" s="3" t="s">
        <v>102</v>
      </c>
      <c r="E26" s="3">
        <v>1</v>
      </c>
      <c r="F26" s="3" t="s">
        <v>91</v>
      </c>
      <c r="G26" s="3">
        <v>0</v>
      </c>
      <c r="H26" s="3" t="s">
        <v>102</v>
      </c>
      <c r="I26" s="10" t="s">
        <v>196</v>
      </c>
      <c r="K26" s="3" t="s">
        <v>197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3"/>
  <sheetViews>
    <sheetView tabSelected="1" topLeftCell="E1" zoomScale="145" zoomScaleNormal="145" workbookViewId="0">
      <selection activeCell="H6" sqref="H6"/>
    </sheetView>
  </sheetViews>
  <sheetFormatPr defaultColWidth="9" defaultRowHeight="15"/>
  <cols>
    <col min="1" max="1" width="8.42578125" customWidth="1"/>
    <col min="2" max="2" width="21.85546875" customWidth="1"/>
    <col min="3" max="3" width="22.28515625" customWidth="1"/>
    <col min="4" max="4" width="11.5703125" customWidth="1"/>
    <col min="5" max="6" width="11.42578125" customWidth="1"/>
    <col min="7" max="7" width="6.7109375" customWidth="1"/>
    <col min="9" max="9" width="15.7109375" customWidth="1"/>
    <col min="10" max="10" width="16.28515625" customWidth="1"/>
    <col min="11" max="11" width="12" customWidth="1"/>
    <col min="12" max="12" width="10.85546875" customWidth="1"/>
    <col min="13" max="15" width="15.85546875" customWidth="1"/>
    <col min="16" max="16" width="13.140625" customWidth="1"/>
    <col min="17" max="17" width="10.42578125" customWidth="1"/>
    <col min="18" max="18" width="12.71093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153</v>
      </c>
      <c r="L1" t="s">
        <v>154</v>
      </c>
      <c r="M1" t="s">
        <v>155</v>
      </c>
      <c r="N1" t="s">
        <v>202</v>
      </c>
      <c r="O1" t="s">
        <v>203</v>
      </c>
      <c r="P1" t="s">
        <v>156</v>
      </c>
      <c r="Q1" t="s">
        <v>157</v>
      </c>
      <c r="R1" s="1" t="s">
        <v>158</v>
      </c>
    </row>
    <row r="2" spans="1:18">
      <c r="A2">
        <v>0</v>
      </c>
      <c r="B2" t="s">
        <v>159</v>
      </c>
      <c r="C2" t="s">
        <v>159</v>
      </c>
      <c r="D2" t="s">
        <v>160</v>
      </c>
      <c r="E2">
        <v>1</v>
      </c>
      <c r="F2" t="s">
        <v>91</v>
      </c>
      <c r="G2">
        <v>25</v>
      </c>
      <c r="H2" t="s">
        <v>160</v>
      </c>
      <c r="I2" s="2" t="s">
        <v>161</v>
      </c>
      <c r="K2">
        <v>8</v>
      </c>
      <c r="L2">
        <v>100</v>
      </c>
      <c r="M2">
        <v>10</v>
      </c>
      <c r="N2">
        <v>0</v>
      </c>
      <c r="O2" t="s">
        <v>204</v>
      </c>
      <c r="P2" s="3">
        <v>14</v>
      </c>
      <c r="Q2">
        <v>7</v>
      </c>
    </row>
    <row r="3" spans="1:18">
      <c r="A3">
        <v>1</v>
      </c>
      <c r="B3" t="s">
        <v>162</v>
      </c>
      <c r="C3" t="s">
        <v>162</v>
      </c>
      <c r="D3" t="s">
        <v>160</v>
      </c>
      <c r="E3">
        <v>1</v>
      </c>
      <c r="F3" t="s">
        <v>91</v>
      </c>
      <c r="G3">
        <v>25</v>
      </c>
      <c r="H3" t="s">
        <v>160</v>
      </c>
      <c r="I3" s="2" t="s">
        <v>161</v>
      </c>
      <c r="K3">
        <v>8</v>
      </c>
      <c r="L3">
        <v>100</v>
      </c>
      <c r="M3">
        <v>10</v>
      </c>
      <c r="N3">
        <v>1</v>
      </c>
      <c r="O3" t="s">
        <v>204</v>
      </c>
      <c r="P3">
        <v>6</v>
      </c>
      <c r="Q3">
        <v>7</v>
      </c>
    </row>
    <row r="4" spans="1:18">
      <c r="A4">
        <v>2</v>
      </c>
      <c r="B4" t="s">
        <v>163</v>
      </c>
      <c r="C4" t="s">
        <v>163</v>
      </c>
      <c r="D4" t="s">
        <v>160</v>
      </c>
      <c r="E4">
        <v>1</v>
      </c>
      <c r="F4" t="s">
        <v>91</v>
      </c>
      <c r="G4">
        <v>25</v>
      </c>
      <c r="H4" t="s">
        <v>160</v>
      </c>
      <c r="I4" s="2" t="s">
        <v>161</v>
      </c>
      <c r="K4">
        <v>8</v>
      </c>
      <c r="L4">
        <v>100</v>
      </c>
      <c r="M4">
        <v>10</v>
      </c>
      <c r="N4">
        <v>2</v>
      </c>
      <c r="O4" t="s">
        <v>204</v>
      </c>
      <c r="P4">
        <v>6</v>
      </c>
      <c r="Q4">
        <v>7</v>
      </c>
    </row>
    <row r="5" spans="1:18">
      <c r="A5">
        <v>3</v>
      </c>
      <c r="B5" t="s">
        <v>164</v>
      </c>
      <c r="C5" t="s">
        <v>164</v>
      </c>
      <c r="D5" t="s">
        <v>160</v>
      </c>
      <c r="E5">
        <v>2</v>
      </c>
      <c r="F5" t="s">
        <v>91</v>
      </c>
      <c r="G5">
        <v>40</v>
      </c>
      <c r="H5" t="s">
        <v>160</v>
      </c>
      <c r="I5" s="2" t="s">
        <v>161</v>
      </c>
      <c r="K5">
        <v>10</v>
      </c>
      <c r="L5">
        <v>200</v>
      </c>
      <c r="M5">
        <v>25</v>
      </c>
      <c r="N5">
        <v>0</v>
      </c>
      <c r="O5" t="s">
        <v>205</v>
      </c>
      <c r="P5">
        <v>6</v>
      </c>
      <c r="Q5" s="3">
        <v>7</v>
      </c>
      <c r="R5" s="4"/>
    </row>
    <row r="6" spans="1:18">
      <c r="A6">
        <v>4</v>
      </c>
      <c r="B6" t="s">
        <v>165</v>
      </c>
      <c r="C6" t="s">
        <v>166</v>
      </c>
      <c r="D6" t="s">
        <v>160</v>
      </c>
      <c r="E6">
        <v>3</v>
      </c>
      <c r="F6" t="s">
        <v>91</v>
      </c>
      <c r="G6">
        <v>0</v>
      </c>
      <c r="H6" t="s">
        <v>160</v>
      </c>
      <c r="I6" s="2" t="s">
        <v>161</v>
      </c>
      <c r="K6">
        <v>10</v>
      </c>
      <c r="L6">
        <v>5000</v>
      </c>
      <c r="M6">
        <v>50</v>
      </c>
      <c r="N6">
        <v>1</v>
      </c>
      <c r="O6" s="14" t="s">
        <v>205</v>
      </c>
      <c r="P6">
        <v>6</v>
      </c>
      <c r="Q6" s="3">
        <v>20</v>
      </c>
      <c r="R6" s="4"/>
    </row>
    <row r="7" spans="1:18">
      <c r="A7">
        <v>5</v>
      </c>
      <c r="B7" t="s">
        <v>167</v>
      </c>
      <c r="C7" t="s">
        <v>168</v>
      </c>
      <c r="D7" t="s">
        <v>160</v>
      </c>
      <c r="E7">
        <v>3</v>
      </c>
      <c r="F7" t="s">
        <v>91</v>
      </c>
      <c r="G7">
        <v>0</v>
      </c>
      <c r="H7" t="s">
        <v>160</v>
      </c>
      <c r="I7" s="2" t="s">
        <v>161</v>
      </c>
      <c r="K7">
        <v>10</v>
      </c>
      <c r="L7">
        <v>5000</v>
      </c>
      <c r="M7">
        <v>50</v>
      </c>
      <c r="N7">
        <v>2</v>
      </c>
      <c r="O7" t="s">
        <v>205</v>
      </c>
      <c r="P7">
        <v>6</v>
      </c>
      <c r="Q7" s="3">
        <v>20</v>
      </c>
      <c r="R7" s="4">
        <f ca="1">R7</f>
        <v>0</v>
      </c>
    </row>
    <row r="8" spans="1:18">
      <c r="A8">
        <v>6</v>
      </c>
      <c r="B8" t="s">
        <v>169</v>
      </c>
      <c r="C8" t="s">
        <v>170</v>
      </c>
      <c r="D8" t="s">
        <v>160</v>
      </c>
      <c r="E8">
        <v>3</v>
      </c>
      <c r="F8" t="s">
        <v>91</v>
      </c>
      <c r="G8">
        <v>0</v>
      </c>
      <c r="H8" t="s">
        <v>160</v>
      </c>
      <c r="I8" s="2" t="s">
        <v>161</v>
      </c>
      <c r="K8">
        <v>10</v>
      </c>
      <c r="L8">
        <v>5000</v>
      </c>
      <c r="M8">
        <v>50</v>
      </c>
      <c r="N8">
        <v>0</v>
      </c>
      <c r="O8" t="s">
        <v>205</v>
      </c>
      <c r="P8">
        <v>6</v>
      </c>
      <c r="Q8" s="3">
        <v>20</v>
      </c>
      <c r="R8" s="4"/>
    </row>
    <row r="9" spans="1:18">
      <c r="A9">
        <v>7</v>
      </c>
      <c r="B9" t="s">
        <v>171</v>
      </c>
      <c r="C9" t="s">
        <v>172</v>
      </c>
      <c r="D9" t="s">
        <v>160</v>
      </c>
      <c r="E9">
        <v>3</v>
      </c>
      <c r="F9" t="s">
        <v>91</v>
      </c>
      <c r="G9">
        <v>0</v>
      </c>
      <c r="H9" t="s">
        <v>160</v>
      </c>
      <c r="I9" s="2" t="s">
        <v>161</v>
      </c>
      <c r="K9">
        <v>10</v>
      </c>
      <c r="L9">
        <v>5000</v>
      </c>
      <c r="M9">
        <v>50</v>
      </c>
      <c r="N9">
        <v>1</v>
      </c>
      <c r="O9" t="s">
        <v>205</v>
      </c>
      <c r="P9">
        <v>6</v>
      </c>
      <c r="Q9">
        <v>20</v>
      </c>
    </row>
    <row r="10" spans="1:18">
      <c r="A10">
        <v>8</v>
      </c>
      <c r="B10" t="s">
        <v>173</v>
      </c>
      <c r="C10" t="s">
        <v>174</v>
      </c>
      <c r="D10" t="s">
        <v>160</v>
      </c>
      <c r="E10">
        <v>3</v>
      </c>
      <c r="F10" t="s">
        <v>91</v>
      </c>
      <c r="G10">
        <v>0</v>
      </c>
      <c r="H10" t="s">
        <v>160</v>
      </c>
      <c r="I10" s="2" t="s">
        <v>161</v>
      </c>
      <c r="K10">
        <v>12</v>
      </c>
      <c r="L10">
        <v>9000</v>
      </c>
      <c r="M10">
        <v>80</v>
      </c>
      <c r="N10">
        <v>2</v>
      </c>
      <c r="O10" t="s">
        <v>205</v>
      </c>
      <c r="P10">
        <v>6</v>
      </c>
      <c r="Q10">
        <v>7</v>
      </c>
      <c r="R10" s="4" t="s">
        <v>175</v>
      </c>
    </row>
    <row r="11" spans="1:18">
      <c r="A11">
        <v>9</v>
      </c>
      <c r="B11" t="s">
        <v>176</v>
      </c>
      <c r="C11" t="s">
        <v>177</v>
      </c>
      <c r="D11" t="s">
        <v>160</v>
      </c>
      <c r="E11">
        <v>3</v>
      </c>
      <c r="F11" t="s">
        <v>91</v>
      </c>
      <c r="G11">
        <v>0</v>
      </c>
      <c r="H11" t="s">
        <v>160</v>
      </c>
      <c r="I11" s="2" t="s">
        <v>178</v>
      </c>
      <c r="K11">
        <v>12</v>
      </c>
      <c r="L11">
        <v>9000</v>
      </c>
      <c r="M11">
        <v>80</v>
      </c>
      <c r="N11">
        <v>0</v>
      </c>
      <c r="O11" t="s">
        <v>205</v>
      </c>
      <c r="P11">
        <v>6</v>
      </c>
      <c r="Q11">
        <v>7</v>
      </c>
      <c r="R11" s="4">
        <v>1</v>
      </c>
    </row>
    <row r="12" spans="1:18">
      <c r="A12">
        <v>10</v>
      </c>
      <c r="B12" t="s">
        <v>179</v>
      </c>
      <c r="C12" t="s">
        <v>180</v>
      </c>
      <c r="D12" t="s">
        <v>160</v>
      </c>
      <c r="E12">
        <v>3</v>
      </c>
      <c r="F12" t="s">
        <v>91</v>
      </c>
      <c r="G12">
        <v>0</v>
      </c>
      <c r="H12" t="s">
        <v>160</v>
      </c>
      <c r="I12" s="2" t="s">
        <v>181</v>
      </c>
      <c r="K12">
        <v>12</v>
      </c>
      <c r="L12">
        <v>9000</v>
      </c>
      <c r="M12">
        <v>80</v>
      </c>
      <c r="N12">
        <v>1</v>
      </c>
      <c r="O12" t="s">
        <v>205</v>
      </c>
      <c r="P12">
        <v>6</v>
      </c>
      <c r="Q12">
        <v>7</v>
      </c>
    </row>
    <row r="13" spans="1:18">
      <c r="A13">
        <v>11</v>
      </c>
      <c r="B13" t="s">
        <v>182</v>
      </c>
      <c r="C13" t="s">
        <v>183</v>
      </c>
      <c r="D13" t="s">
        <v>160</v>
      </c>
      <c r="E13">
        <v>3</v>
      </c>
      <c r="F13" t="s">
        <v>91</v>
      </c>
      <c r="G13">
        <v>0</v>
      </c>
      <c r="H13" t="s">
        <v>160</v>
      </c>
      <c r="I13" s="2" t="s">
        <v>184</v>
      </c>
      <c r="K13">
        <v>12</v>
      </c>
      <c r="L13">
        <v>9000</v>
      </c>
      <c r="M13">
        <v>80</v>
      </c>
      <c r="N13">
        <v>2</v>
      </c>
      <c r="O13" t="s">
        <v>205</v>
      </c>
      <c r="P13">
        <v>6</v>
      </c>
      <c r="Q13">
        <v>7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75" zoomScaleNormal="175" workbookViewId="0">
      <selection activeCell="C10" sqref="C10"/>
    </sheetView>
  </sheetViews>
  <sheetFormatPr defaultColWidth="9" defaultRowHeight="15"/>
  <cols>
    <col min="1" max="1" width="12.5703125" customWidth="1"/>
    <col min="2" max="2" width="19.42578125" customWidth="1"/>
    <col min="3" max="3" width="22.85546875" customWidth="1"/>
    <col min="4" max="4" width="31.140625" customWidth="1"/>
    <col min="5" max="5" width="23.42578125" customWidth="1"/>
    <col min="6" max="6" width="9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185</v>
      </c>
      <c r="F1" t="s">
        <v>186</v>
      </c>
    </row>
    <row r="2" spans="1:6">
      <c r="A2">
        <v>0</v>
      </c>
      <c r="B2">
        <v>12</v>
      </c>
      <c r="C2">
        <v>36</v>
      </c>
      <c r="D2" t="s">
        <v>187</v>
      </c>
      <c r="E2" t="s">
        <v>8</v>
      </c>
      <c r="F2">
        <v>100</v>
      </c>
    </row>
    <row r="3" spans="1:6">
      <c r="A3">
        <v>1</v>
      </c>
      <c r="B3">
        <v>12</v>
      </c>
      <c r="C3">
        <v>36</v>
      </c>
      <c r="D3" t="s">
        <v>187</v>
      </c>
      <c r="E3" t="s">
        <v>8</v>
      </c>
      <c r="F3">
        <v>300</v>
      </c>
    </row>
    <row r="4" spans="1:6">
      <c r="A4">
        <v>2</v>
      </c>
      <c r="B4">
        <v>12</v>
      </c>
      <c r="C4">
        <v>36</v>
      </c>
      <c r="D4" t="s">
        <v>188</v>
      </c>
      <c r="E4">
        <v>5</v>
      </c>
      <c r="F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zoomScale="205" zoomScaleNormal="205" workbookViewId="0">
      <selection sqref="A1:B15"/>
    </sheetView>
  </sheetViews>
  <sheetFormatPr defaultColWidth="8.7109375" defaultRowHeight="15"/>
  <cols>
    <col min="1" max="1" width="3.140625" customWidth="1"/>
    <col min="2" max="2" width="6.7109375" customWidth="1"/>
    <col min="3" max="3" width="10.42578125" customWidth="1"/>
    <col min="4" max="4" width="26.5703125" customWidth="1"/>
    <col min="5" max="5" width="19.7109375" customWidth="1"/>
  </cols>
  <sheetData>
    <row r="1" spans="1:5">
      <c r="A1" t="s">
        <v>0</v>
      </c>
      <c r="B1" t="s">
        <v>189</v>
      </c>
      <c r="C1" t="s">
        <v>2</v>
      </c>
      <c r="D1" t="s">
        <v>190</v>
      </c>
      <c r="E1" t="s">
        <v>191</v>
      </c>
    </row>
    <row r="2" spans="1:5">
      <c r="A2">
        <v>0</v>
      </c>
      <c r="D2" t="s">
        <v>198</v>
      </c>
      <c r="E2" t="s">
        <v>199</v>
      </c>
    </row>
    <row r="3" spans="1:5">
      <c r="A3">
        <v>1</v>
      </c>
      <c r="D3" t="s">
        <v>200</v>
      </c>
      <c r="E3">
        <v>3</v>
      </c>
    </row>
    <row r="4" spans="1:5">
      <c r="A4">
        <v>2</v>
      </c>
      <c r="D4" t="s">
        <v>201</v>
      </c>
      <c r="E4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RaisingEffects</vt:lpstr>
      <vt:lpstr>CardConditions</vt:lpstr>
      <vt:lpstr>DialogueEvents</vt:lpstr>
      <vt:lpstr>StreamEvents</vt:lpstr>
      <vt:lpstr>PhaseEndingConditions</vt:lpstr>
      <vt:lpstr>PlacingConditions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Sun</dc:creator>
  <cp:lastModifiedBy>Ming Sun</cp:lastModifiedBy>
  <dcterms:created xsi:type="dcterms:W3CDTF">2025-08-08T11:51:00Z</dcterms:created>
  <dcterms:modified xsi:type="dcterms:W3CDTF">2025-08-17T06:59:11Z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A7AADA829DDF4657882195A4B28F3EF4_12</vt:lpwstr>
  </property>
  <property fmtid="{D5CDD505-2E9C-101B-9397-08002B2CF9AE}" pid="3" name="KSOProductBuildVer">
    <vt:lpwstr>2052-12.1.0.22483</vt:lpwstr>
  </property>
</Properties>
</file>